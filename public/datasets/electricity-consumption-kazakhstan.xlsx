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ual_Consumption_GWh" sheetId="1" state="visible" r:id="rId1"/>
    <sheet xmlns:r="http://schemas.openxmlformats.org/officeDocument/2006/relationships" name="By_Region_2024" sheetId="2" state="visible" r:id="rId2"/>
    <sheet xmlns:r="http://schemas.openxmlformats.org/officeDocument/2006/relationships" name="Monthly_Profile_2024_model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444444"/>
      <sz val="10"/>
    </font>
    <font>
      <name val="Arial"/>
      <b val="1"/>
      <sz val="10"/>
    </font>
    <font>
      <name val="Arial"/>
      <b val="1"/>
      <color rgb="007B3900"/>
      <sz val="12"/>
    </font>
    <font>
      <name val="Arial"/>
      <i val="1"/>
      <color rgb="007B3900"/>
      <sz val="9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F"/>
      </patternFill>
    </fill>
    <fill>
      <patternFill patternType="solid">
        <fgColor rgb="004A235A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5" fillId="4" borderId="1" applyAlignment="1" pivotButton="0" quotePrefix="0" xfId="0">
      <alignment horizontal="left"/>
    </xf>
    <xf numFmtId="0" fontId="5" fillId="4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4" customWidth="1" min="2" max="2"/>
    <col width="28" customWidth="1" min="3" max="3"/>
    <col width="12" customWidth="1" min="4" max="4"/>
    <col width="24" customWidth="1" min="5" max="5"/>
    <col width="24" customWidth="1" min="6" max="6"/>
    <col width="42" customWidth="1" min="7" max="7"/>
  </cols>
  <sheetData>
    <row r="1" ht="28" customHeight="1">
      <c r="A1" s="1" t="inlineStr">
        <is>
          <t>Потребление электроэнергии — Казахстан (годовые данные)</t>
        </is>
      </c>
    </row>
    <row r="2" ht="36" customHeight="1">
      <c r="A2" s="2" t="inlineStr">
        <is>
          <t>Год</t>
        </is>
      </c>
      <c r="B2" s="2" t="inlineStr">
        <is>
          <t>Потребление (млн кВт·ч)</t>
        </is>
      </c>
      <c r="C2" s="2" t="inlineStr">
        <is>
          <t>Изм. к пред. году (млн кВт·ч)</t>
        </is>
      </c>
      <c r="D2" s="2" t="inlineStr">
        <is>
          <t>Изм. %</t>
        </is>
      </c>
      <c r="E2" s="2" t="inlineStr">
        <is>
          <t>Произв. (млн кВт·ч)</t>
        </is>
      </c>
      <c r="F2" s="2" t="inlineStr">
        <is>
          <t>Дефицит (млн кВт·ч)</t>
        </is>
      </c>
      <c r="G2" s="2" t="inlineStr">
        <is>
          <t>Источник</t>
        </is>
      </c>
    </row>
    <row r="3">
      <c r="A3" s="3" t="n">
        <v>2019</v>
      </c>
      <c r="B3" s="3" t="n">
        <v>103900</v>
      </c>
      <c r="C3" s="3" t="n"/>
      <c r="D3" s="3" t="n"/>
      <c r="E3" s="3" t="n">
        <v>106000</v>
      </c>
      <c r="F3" s="3" t="n">
        <v>-2100</v>
      </c>
      <c r="G3" s="4" t="inlineStr">
        <is>
          <t>KEGOC Annual Report 2023</t>
        </is>
      </c>
    </row>
    <row r="4">
      <c r="A4" s="5" t="n">
        <v>2020</v>
      </c>
      <c r="B4" s="5" t="n">
        <v>105300</v>
      </c>
      <c r="C4" s="5">
        <f>B4-B3</f>
        <v/>
      </c>
      <c r="D4" s="6">
        <f>(B4-B3)/B3</f>
        <v/>
      </c>
      <c r="E4" s="5" t="n">
        <v>104400</v>
      </c>
      <c r="F4" s="5" t="n">
        <v>900</v>
      </c>
      <c r="G4" s="7" t="inlineStr">
        <is>
          <t>KEGOC Annual Report 2023</t>
        </is>
      </c>
    </row>
    <row r="5">
      <c r="A5" s="3" t="n">
        <v>2021</v>
      </c>
      <c r="B5" s="3" t="n">
        <v>110200</v>
      </c>
      <c r="C5" s="3">
        <f>B5-B4</f>
        <v/>
      </c>
      <c r="D5" s="8">
        <f>(B5-B4)/B4</f>
        <v/>
      </c>
      <c r="E5" s="3" t="n">
        <v>109800</v>
      </c>
      <c r="F5" s="3" t="n">
        <v>400</v>
      </c>
      <c r="G5" s="4" t="inlineStr">
        <is>
          <t>KEGOC Annual Report 2023</t>
        </is>
      </c>
    </row>
    <row r="6">
      <c r="A6" s="5" t="n">
        <v>2022</v>
      </c>
      <c r="B6" s="5" t="n">
        <v>112944</v>
      </c>
      <c r="C6" s="5">
        <f>B6-B5</f>
        <v/>
      </c>
      <c r="D6" s="6">
        <f>(B6-B5)/B5</f>
        <v/>
      </c>
      <c r="E6" s="5" t="n">
        <v>112823</v>
      </c>
      <c r="F6" s="5" t="n">
        <v>121</v>
      </c>
      <c r="G6" s="7" t="inlineStr">
        <is>
          <t>KEGOC Annual Report 2023</t>
        </is>
      </c>
    </row>
    <row r="7">
      <c r="A7" s="3" t="n">
        <v>2023</v>
      </c>
      <c r="B7" s="3" t="n">
        <v>115068</v>
      </c>
      <c r="C7" s="3">
        <f>B7-B6</f>
        <v/>
      </c>
      <c r="D7" s="8">
        <f>(B7-B6)/B6</f>
        <v/>
      </c>
      <c r="E7" s="3" t="n">
        <v>112823</v>
      </c>
      <c r="F7" s="3" t="n">
        <v>-2245</v>
      </c>
      <c r="G7" s="4" t="inlineStr">
        <is>
          <t>KEGOC AR 2023 / ar2023.kegoc.kz</t>
        </is>
      </c>
    </row>
    <row r="8">
      <c r="A8" s="5" t="n">
        <v>2024</v>
      </c>
      <c r="B8" s="5" t="n">
        <v>119996</v>
      </c>
      <c r="C8" s="5">
        <f>B8-B7</f>
        <v/>
      </c>
      <c r="D8" s="6">
        <f>(B8-B7)/B7</f>
        <v/>
      </c>
      <c r="E8" s="5" t="n">
        <v>117900</v>
      </c>
      <c r="F8" s="5" t="n">
        <v>-2096</v>
      </c>
      <c r="G8" s="7" t="inlineStr">
        <is>
          <t>KEGOC AR 2024 / ar2024.kegoc.kz</t>
        </is>
      </c>
    </row>
    <row r="9">
      <c r="A9" s="3" t="n">
        <v>2025</v>
      </c>
      <c r="B9" s="3" t="n">
        <v>124607</v>
      </c>
      <c r="C9" s="3">
        <f>B9-B8</f>
        <v/>
      </c>
      <c r="D9" s="8">
        <f>(B9-B8)/B8</f>
        <v/>
      </c>
      <c r="E9" s="3" t="n">
        <v>123111</v>
      </c>
      <c r="F9" s="3" t="n">
        <v>-1496</v>
      </c>
      <c r="G9" s="4" t="inlineStr">
        <is>
          <t>KEGOC official site / kegoc.kz</t>
        </is>
      </c>
    </row>
    <row r="10">
      <c r="A10" s="9" t="inlineStr">
        <is>
          <t>Q1 2026</t>
        </is>
      </c>
      <c r="B10" s="9" t="n">
        <v>33600</v>
      </c>
      <c r="C10" s="9" t="n"/>
      <c r="D10" s="9" t="n"/>
      <c r="E10" s="9" t="n"/>
      <c r="F10" s="9" t="inlineStr">
        <is>
          <t>~профицит 100 млн кВт·ч</t>
        </is>
      </c>
      <c r="G10" s="9" t="inlineStr">
        <is>
          <t>Минэнерго РК, апрель 2026 / elordainfo.kz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2" customWidth="1" min="4" max="4"/>
    <col width="10" customWidth="1" min="5" max="5"/>
    <col width="38" customWidth="1" min="6" max="6"/>
  </cols>
  <sheetData>
    <row r="1" ht="28" customHeight="1">
      <c r="A1" s="1" t="inlineStr">
        <is>
          <t>Потребление электроэнергии по регионам — Казахстан 2024 vs 2023</t>
        </is>
      </c>
    </row>
    <row r="2" ht="36" customHeight="1">
      <c r="A2" s="2" t="inlineStr">
        <is>
          <t>Регион/Зона</t>
        </is>
      </c>
      <c r="B2" s="2" t="inlineStr">
        <is>
          <t>2023 (млн кВт·ч)</t>
        </is>
      </c>
      <c r="C2" s="2" t="inlineStr">
        <is>
          <t>2024 (млн кВт·ч)</t>
        </is>
      </c>
      <c r="D2" s="2" t="inlineStr">
        <is>
          <t>Изм. (млн кВт·ч)</t>
        </is>
      </c>
      <c r="E2" s="2" t="inlineStr">
        <is>
          <t>Изм. %</t>
        </is>
      </c>
      <c r="F2" s="2" t="inlineStr">
        <is>
          <t>Источник</t>
        </is>
      </c>
    </row>
    <row r="3">
      <c r="A3" s="4" t="inlineStr">
        <is>
          <t>Северная зона</t>
        </is>
      </c>
      <c r="B3" s="3" t="n">
        <v>72814</v>
      </c>
      <c r="C3" s="3" t="n">
        <v>74628</v>
      </c>
      <c r="D3" s="3">
        <f>C3-B3</f>
        <v/>
      </c>
      <c r="E3" s="8">
        <f>(C3-B3)/B3</f>
        <v/>
      </c>
      <c r="F3" s="3" t="inlineStr">
        <is>
          <t>KEGOC AR 2024 / ar2024.kegoc.kz</t>
        </is>
      </c>
    </row>
    <row r="4">
      <c r="A4" s="7" t="inlineStr">
        <is>
          <t>Западная зона</t>
        </is>
      </c>
      <c r="B4" s="5" t="n">
        <v>14705</v>
      </c>
      <c r="C4" s="5" t="n">
        <v>16293</v>
      </c>
      <c r="D4" s="5">
        <f>C4-B4</f>
        <v/>
      </c>
      <c r="E4" s="6">
        <f>(C4-B4)/B4</f>
        <v/>
      </c>
      <c r="F4" s="5" t="inlineStr">
        <is>
          <t>KEGOC AR 2024 / ar2024.kegoc.kz</t>
        </is>
      </c>
    </row>
    <row r="5">
      <c r="A5" s="4" t="inlineStr">
        <is>
          <t>Южная зона</t>
        </is>
      </c>
      <c r="B5" s="3" t="n">
        <v>27549</v>
      </c>
      <c r="C5" s="3" t="n">
        <v>29075</v>
      </c>
      <c r="D5" s="3">
        <f>C5-B5</f>
        <v/>
      </c>
      <c r="E5" s="8">
        <f>(C5-B5)/B5</f>
        <v/>
      </c>
      <c r="F5" s="3" t="inlineStr">
        <is>
          <t>KEGOC AR 2024 / ar2024.kegoc.kz</t>
        </is>
      </c>
    </row>
    <row r="6">
      <c r="A6" s="7" t="inlineStr">
        <is>
          <t>— Алматинская обл.</t>
        </is>
      </c>
      <c r="B6" s="5" t="n">
        <v>11886</v>
      </c>
      <c r="C6" s="5" t="n">
        <v>12633</v>
      </c>
      <c r="D6" s="5">
        <f>C6-B6</f>
        <v/>
      </c>
      <c r="E6" s="6">
        <f>(C6-B6)/B6</f>
        <v/>
      </c>
      <c r="F6" s="5" t="inlineStr">
        <is>
          <t>KEGOC AR 2024 / ar2024.kegoc.kz</t>
        </is>
      </c>
    </row>
    <row r="7">
      <c r="A7" s="4" t="inlineStr">
        <is>
          <t>— Туркестанская обл.</t>
        </is>
      </c>
      <c r="B7" s="3" t="n">
        <v>6908</v>
      </c>
      <c r="C7" s="3" t="n">
        <v>7573</v>
      </c>
      <c r="D7" s="3">
        <f>C7-B7</f>
        <v/>
      </c>
      <c r="E7" s="8">
        <f>(C7-B7)/B7</f>
        <v/>
      </c>
      <c r="F7" s="3" t="inlineStr">
        <is>
          <t>KEGOC AR 2024 / ar2024.kegoc.kz</t>
        </is>
      </c>
    </row>
    <row r="8">
      <c r="A8" s="7" t="inlineStr">
        <is>
          <t>— Жамбылская обл.</t>
        </is>
      </c>
      <c r="B8" s="5" t="n">
        <v>5084</v>
      </c>
      <c r="C8" s="5" t="n">
        <v>5730</v>
      </c>
      <c r="D8" s="5">
        <f>C8-B8</f>
        <v/>
      </c>
      <c r="E8" s="6">
        <f>(C8-B8)/B8</f>
        <v/>
      </c>
      <c r="F8" s="5" t="inlineStr">
        <is>
          <t>KEGOC AR 2024 / ar2024.kegoc.kz</t>
        </is>
      </c>
    </row>
    <row r="9">
      <c r="A9" s="4" t="inlineStr">
        <is>
          <t>— Атырауская обл.</t>
        </is>
      </c>
      <c r="B9" s="3" t="n">
        <v>8235</v>
      </c>
      <c r="C9" s="3" t="n">
        <v>10267</v>
      </c>
      <c r="D9" s="3">
        <f>C9-B9</f>
        <v/>
      </c>
      <c r="E9" s="8">
        <f>(C9-B9)/B9</f>
        <v/>
      </c>
      <c r="F9" s="3" t="inlineStr">
        <is>
          <t>KEGOC AR 2024 / ar2024.kegoc.kz</t>
        </is>
      </c>
    </row>
    <row r="10">
      <c r="A10" s="10" t="inlineStr">
        <is>
          <t>ИТОГО Казахстан</t>
        </is>
      </c>
      <c r="B10" s="11" t="n">
        <v>115068</v>
      </c>
      <c r="C10" s="11" t="n">
        <v>119996</v>
      </c>
      <c r="D10" s="11" t="n"/>
      <c r="E10" s="11" t="n"/>
      <c r="F10" s="11" t="inlineStr">
        <is>
          <t>KEGOC AR 2024 / ar2024.kegoc.kz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28" customWidth="1" min="3" max="3"/>
    <col width="32" customWidth="1" min="4" max="4"/>
  </cols>
  <sheetData>
    <row r="1" ht="28" customHeight="1">
      <c r="A1" s="12" t="inlineStr">
        <is>
          <t>Помесячный профиль потребления 2024 — СМОДЕЛИРОВАНО (сезонные коэффициенты)</t>
        </is>
      </c>
    </row>
    <row r="2" ht="30" customHeight="1">
      <c r="A2" s="13" t="inlineStr">
        <is>
          <t>⚠ Данные смоделированы от годового итога KEGOC (119 996 млн кВт·ч) × типовой сезонный профиль. Не является официальной статистикой.</t>
        </is>
      </c>
    </row>
    <row r="3" ht="30" customHeight="1">
      <c r="A3" s="14" t="inlineStr">
        <is>
          <t>Месяц</t>
        </is>
      </c>
      <c r="B3" s="14" t="inlineStr">
        <is>
          <t>Коэфф. сезонности</t>
        </is>
      </c>
      <c r="C3" s="14" t="inlineStr">
        <is>
          <t>Потребление (млн кВт·ч)</t>
        </is>
      </c>
      <c r="D3" s="14" t="inlineStr">
        <is>
          <t>Примечание</t>
        </is>
      </c>
    </row>
    <row r="4">
      <c r="A4" s="7" t="inlineStr">
        <is>
          <t>Январь</t>
        </is>
      </c>
      <c r="B4" s="5" t="n">
        <v>1.13</v>
      </c>
      <c r="C4" s="5" t="n">
        <v>11299.6</v>
      </c>
      <c r="D4" s="7" t="inlineStr">
        <is>
          <t>Пик зимнего потребления</t>
        </is>
      </c>
    </row>
    <row r="5">
      <c r="A5" s="4" t="inlineStr">
        <is>
          <t>Февраль</t>
        </is>
      </c>
      <c r="B5" s="3" t="n">
        <v>1.1</v>
      </c>
      <c r="C5" s="3" t="n">
        <v>10999.6</v>
      </c>
      <c r="D5" s="4" t="inlineStr">
        <is>
          <t>Зима</t>
        </is>
      </c>
    </row>
    <row r="6">
      <c r="A6" s="7" t="inlineStr">
        <is>
          <t>Март</t>
        </is>
      </c>
      <c r="B6" s="5" t="n">
        <v>1</v>
      </c>
      <c r="C6" s="5" t="n">
        <v>9999.700000000001</v>
      </c>
      <c r="D6" s="7" t="inlineStr">
        <is>
          <t>Переходный</t>
        </is>
      </c>
    </row>
    <row r="7">
      <c r="A7" s="4" t="inlineStr">
        <is>
          <t>Апрель</t>
        </is>
      </c>
      <c r="B7" s="3" t="n">
        <v>0.9</v>
      </c>
      <c r="C7" s="3" t="n">
        <v>8999.700000000001</v>
      </c>
      <c r="D7" s="4" t="inlineStr">
        <is>
          <t>Весна</t>
        </is>
      </c>
    </row>
    <row r="8">
      <c r="A8" s="7" t="inlineStr">
        <is>
          <t>Май</t>
        </is>
      </c>
      <c r="B8" s="5" t="n">
        <v>0.85</v>
      </c>
      <c r="C8" s="5" t="n">
        <v>8499.700000000001</v>
      </c>
      <c r="D8" s="7" t="inlineStr">
        <is>
          <t>Весна</t>
        </is>
      </c>
    </row>
    <row r="9">
      <c r="A9" s="4" t="inlineStr">
        <is>
          <t>Июнь</t>
        </is>
      </c>
      <c r="B9" s="3" t="n">
        <v>0.87</v>
      </c>
      <c r="C9" s="3" t="n">
        <v>8699.700000000001</v>
      </c>
      <c r="D9" s="4" t="inlineStr">
        <is>
          <t>Лето (кондиционеры)</t>
        </is>
      </c>
    </row>
    <row r="10">
      <c r="A10" s="7" t="inlineStr">
        <is>
          <t>Июль</t>
        </is>
      </c>
      <c r="B10" s="5" t="n">
        <v>0.91</v>
      </c>
      <c r="C10" s="5" t="n">
        <v>9099.700000000001</v>
      </c>
      <c r="D10" s="7" t="inlineStr">
        <is>
          <t>Лето</t>
        </is>
      </c>
    </row>
    <row r="11">
      <c r="A11" s="4" t="inlineStr">
        <is>
          <t>Август</t>
        </is>
      </c>
      <c r="B11" s="3" t="n">
        <v>0.9</v>
      </c>
      <c r="C11" s="3" t="n">
        <v>8999.700000000001</v>
      </c>
      <c r="D11" s="4" t="inlineStr">
        <is>
          <t>Лето</t>
        </is>
      </c>
    </row>
    <row r="12">
      <c r="A12" s="7" t="inlineStr">
        <is>
          <t>Сентябрь</t>
        </is>
      </c>
      <c r="B12" s="5" t="n">
        <v>0.92</v>
      </c>
      <c r="C12" s="5" t="n">
        <v>9199.700000000001</v>
      </c>
      <c r="D12" s="7" t="inlineStr">
        <is>
          <t>Осень</t>
        </is>
      </c>
    </row>
    <row r="13">
      <c r="A13" s="4" t="inlineStr">
        <is>
          <t>Октябрь</t>
        </is>
      </c>
      <c r="B13" s="3" t="n">
        <v>0.98</v>
      </c>
      <c r="C13" s="3" t="n">
        <v>9799.700000000001</v>
      </c>
      <c r="D13" s="4" t="inlineStr">
        <is>
          <t>Осень</t>
        </is>
      </c>
    </row>
    <row r="14">
      <c r="A14" s="7" t="inlineStr">
        <is>
          <t>Ноябрь</t>
        </is>
      </c>
      <c r="B14" s="5" t="n">
        <v>1.06</v>
      </c>
      <c r="C14" s="5" t="n">
        <v>10599.6</v>
      </c>
      <c r="D14" s="7" t="inlineStr">
        <is>
          <t>Предзимье</t>
        </is>
      </c>
    </row>
    <row r="15">
      <c r="A15" s="4" t="inlineStr">
        <is>
          <t>Декабрь</t>
        </is>
      </c>
      <c r="B15" s="3" t="n">
        <v>1.12</v>
      </c>
      <c r="C15" s="3" t="n">
        <v>11199.6</v>
      </c>
      <c r="D15" s="4" t="inlineStr">
        <is>
          <t>Пик декабрь</t>
        </is>
      </c>
    </row>
    <row r="16">
      <c r="A16" s="15" t="inlineStr">
        <is>
          <t>ИТОГО</t>
        </is>
      </c>
      <c r="B16" s="3" t="n"/>
      <c r="C16" s="15">
        <f>SUM(C4:C15)</f>
        <v/>
      </c>
      <c r="D16" s="3" t="n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2026-04-12T09:08:30Z</dcterms:created>
  <dcterms:modified xmlns:dcterms="http://purl.org/dc/terms/" xmlns:xsi="http://www.w3.org/2001/XMLSchema-instance" xsi:type="dcterms:W3CDTF">2026-04-12T09:08:30Z</dcterms:modified>
</cp:coreProperties>
</file>